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ngstars-my.sharepoint.com/personal/yaocheng_chengstars_onmicrosoft_com/Documents/研究报告/海底捞/"/>
    </mc:Choice>
  </mc:AlternateContent>
  <xr:revisionPtr revIDLastSave="32" documentId="8_{42A490EF-ACD8-4252-BF98-7AEEEE8F5AED}" xr6:coauthVersionLast="37" xr6:coauthVersionMax="37" xr10:uidLastSave="{3C60CE19-A584-493F-8826-41F29809F651}"/>
  <bookViews>
    <workbookView xWindow="0" yWindow="0" windowWidth="21570" windowHeight="10245" xr2:uid="{7EA5669D-AEB1-4F85-B886-63B61CCC8B86}"/>
  </bookViews>
  <sheets>
    <sheet name="6862.HK-ARD.利润表" sheetId="2" r:id="rId1"/>
    <sheet name="Sheet1" sheetId="1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5" i="2" l="1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I22" i="2"/>
  <c r="J22" i="2"/>
  <c r="K22" i="2"/>
  <c r="L22" i="2"/>
  <c r="I23" i="2"/>
  <c r="J23" i="2"/>
  <c r="K23" i="2"/>
  <c r="L23" i="2"/>
  <c r="I24" i="2"/>
  <c r="J24" i="2"/>
  <c r="K24" i="2"/>
  <c r="L24" i="2"/>
  <c r="I25" i="2"/>
  <c r="J25" i="2"/>
  <c r="K25" i="2"/>
  <c r="L25" i="2"/>
  <c r="I26" i="2"/>
  <c r="J26" i="2"/>
  <c r="K26" i="2"/>
  <c r="L26" i="2"/>
  <c r="I27" i="2"/>
  <c r="J27" i="2"/>
  <c r="K27" i="2"/>
  <c r="L27" i="2"/>
  <c r="J4" i="2"/>
  <c r="K4" i="2"/>
  <c r="L4" i="2"/>
  <c r="I4" i="2"/>
  <c r="C6" i="2"/>
  <c r="C18" i="2" s="1"/>
  <c r="C20" i="2" s="1"/>
  <c r="D6" i="2"/>
  <c r="D18" i="2" s="1"/>
  <c r="D20" i="2" s="1"/>
  <c r="E6" i="2"/>
  <c r="E18" i="2" s="1"/>
  <c r="E20" i="2" s="1"/>
  <c r="B6" i="2"/>
  <c r="B18" i="2" s="1"/>
  <c r="B20" i="2" s="1"/>
  <c r="E23" i="2" l="1"/>
  <c r="B23" i="2"/>
  <c r="B25" i="2"/>
  <c r="D25" i="2"/>
  <c r="D23" i="2" s="1"/>
  <c r="C25" i="2"/>
  <c r="C23" i="2" s="1"/>
  <c r="E25" i="2"/>
  <c r="C22" i="2"/>
  <c r="B22" i="2"/>
  <c r="E22" i="2"/>
  <c r="D22" i="2"/>
  <c r="B27" i="2" l="1"/>
  <c r="B26" i="2" s="1"/>
  <c r="C27" i="2"/>
  <c r="C26" i="2" s="1"/>
  <c r="D27" i="2"/>
  <c r="D26" i="2" s="1"/>
  <c r="E27" i="2"/>
  <c r="E26" i="2" s="1"/>
</calcChain>
</file>

<file path=xl/sharedStrings.xml><?xml version="1.0" encoding="utf-8"?>
<sst xmlns="http://schemas.openxmlformats.org/spreadsheetml/2006/main" count="61" uniqueCount="43">
  <si>
    <t>2018-06-30</t>
  </si>
  <si>
    <t>2017-12-31</t>
  </si>
  <si>
    <t>2016-12-31</t>
  </si>
  <si>
    <t>2015-12-31</t>
  </si>
  <si>
    <t>报告期</t>
  </si>
  <si>
    <t>中报</t>
  </si>
  <si>
    <t>年报</t>
  </si>
  <si>
    <t>报表类型</t>
  </si>
  <si>
    <t>合并报表</t>
  </si>
  <si>
    <t>　　营业收入</t>
  </si>
  <si>
    <t>　　其他收入-经营</t>
  </si>
  <si>
    <t>　　原材料及消耗品</t>
  </si>
  <si>
    <t>　　职工薪酬</t>
  </si>
  <si>
    <t>　　物业租金及相关开支</t>
  </si>
  <si>
    <t>　　水利电开支</t>
  </si>
  <si>
    <t>　　折旧及摊销</t>
  </si>
  <si>
    <t>　　交通及差旅费用</t>
  </si>
  <si>
    <t>　　其他支出-经营</t>
  </si>
  <si>
    <t>　　应占联营公司损益</t>
  </si>
  <si>
    <t>　　其他经营净收益</t>
  </si>
  <si>
    <t>　　财务费用</t>
  </si>
  <si>
    <t>　　除税前溢利(合计平衡项目)</t>
  </si>
  <si>
    <t>　　除税前溢利</t>
  </si>
  <si>
    <t>　　所得税</t>
  </si>
  <si>
    <t>　　净利润(含少数股东权益)</t>
  </si>
  <si>
    <t>　　其他综合收益-汇兑差额-海外业务换算</t>
  </si>
  <si>
    <t>　　综合收益总额</t>
  </si>
  <si>
    <t>　　净利润(不含少数股东权益)</t>
  </si>
  <si>
    <t>　　少数股东损益</t>
  </si>
  <si>
    <t>　　综合收益总额(母公司)</t>
  </si>
  <si>
    <t>　　综合收益总额(少数股东)</t>
  </si>
  <si>
    <t>显示币种</t>
  </si>
  <si>
    <t>CNY</t>
  </si>
  <si>
    <t>原始币种</t>
  </si>
  <si>
    <t>转换汇率</t>
  </si>
  <si>
    <t>1</t>
  </si>
  <si>
    <t>利率类型</t>
  </si>
  <si>
    <t>期末汇率</t>
  </si>
  <si>
    <t xml:space="preserve">单位 : 万元 , CNY  </t>
  </si>
  <si>
    <t xml:space="preserve">       少数股东比例</t>
    <phoneticPr fontId="1" type="noConversion"/>
  </si>
  <si>
    <t>收入合计</t>
    <phoneticPr fontId="1" type="noConversion"/>
  </si>
  <si>
    <t>预计占收入比例</t>
    <phoneticPr fontId="1" type="noConversion"/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</si>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</sst>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,##0_ "/>
    <numFmt numFmtId="178" formatCode="0.00_ "/>
    <numFmt numFmtId="179" formatCode="0.00_);[Red]\(0.0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4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176" fontId="2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2" fillId="0" borderId="0" xfId="0" applyNumberFormat="1" applyFont="1">
      <alignment vertical="center"/>
    </xf>
    <xf numFmtId="179" fontId="4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E9A-5B39-480D-9656-17A5D7D715B8}">
  <dimension ref="A1:L35"/>
  <sheetViews>
    <sheetView tabSelected="1" workbookViewId="0">
      <selection activeCell="G13" sqref="G13"/>
    </sheetView>
  </sheetViews>
  <sheetFormatPr defaultRowHeight="14.25" x14ac:dyDescent="0.2"/>
  <cols>
    <col min="1" max="1" width="40.25" bestFit="1" customWidth="1"/>
    <col min="2" max="5" width="11.625" bestFit="1" customWidth="1"/>
    <col min="7" max="7" width="9" style="9"/>
  </cols>
  <sheetData>
    <row r="1" spans="1:12" x14ac:dyDescent="0.2">
      <c r="B1" s="2" t="s">
        <v>3</v>
      </c>
      <c r="C1" s="2" t="s">
        <v>2</v>
      </c>
      <c r="D1" s="2" t="s">
        <v>1</v>
      </c>
      <c r="E1" s="2" t="s">
        <v>0</v>
      </c>
      <c r="G1" s="9" t="s">
        <v>41</v>
      </c>
    </row>
    <row r="2" spans="1:12" x14ac:dyDescent="0.2">
      <c r="A2" t="s">
        <v>4</v>
      </c>
      <c r="B2" s="2" t="s">
        <v>6</v>
      </c>
      <c r="C2" s="2" t="s">
        <v>6</v>
      </c>
      <c r="D2" s="2" t="s">
        <v>6</v>
      </c>
      <c r="E2" s="2" t="s">
        <v>5</v>
      </c>
    </row>
    <row r="3" spans="1:12" x14ac:dyDescent="0.2">
      <c r="A3" t="s">
        <v>7</v>
      </c>
      <c r="B3" s="2" t="s">
        <v>8</v>
      </c>
      <c r="C3" s="2" t="s">
        <v>8</v>
      </c>
      <c r="D3" s="2" t="s">
        <v>8</v>
      </c>
      <c r="E3" s="2" t="s">
        <v>8</v>
      </c>
    </row>
    <row r="4" spans="1:12" x14ac:dyDescent="0.2">
      <c r="A4" t="s">
        <v>9</v>
      </c>
      <c r="B4" s="3">
        <v>575668</v>
      </c>
      <c r="C4" s="3">
        <v>780769</v>
      </c>
      <c r="D4" s="3">
        <v>1063717</v>
      </c>
      <c r="E4" s="3">
        <v>734264</v>
      </c>
      <c r="G4" s="9" t="s">
        <v>42</v>
      </c>
      <c r="I4" s="8">
        <f>B4/B$4*100</f>
        <v>100</v>
      </c>
      <c r="J4" s="8">
        <f t="shared" ref="J4:L4" si="0">C4/C$4*100</f>
        <v>100</v>
      </c>
      <c r="K4" s="8">
        <f t="shared" si="0"/>
        <v>100</v>
      </c>
      <c r="L4" s="8">
        <f t="shared" si="0"/>
        <v>100</v>
      </c>
    </row>
    <row r="5" spans="1:12" x14ac:dyDescent="0.2">
      <c r="A5" t="s">
        <v>10</v>
      </c>
      <c r="B5" s="3">
        <v>3566</v>
      </c>
      <c r="C5" s="3">
        <v>6209</v>
      </c>
      <c r="D5" s="3">
        <v>9075</v>
      </c>
      <c r="E5" s="3">
        <v>2699</v>
      </c>
      <c r="G5" s="10">
        <v>0.6</v>
      </c>
      <c r="I5" s="8">
        <f t="shared" ref="I5:I27" si="1">B5/B$4*100</f>
        <v>0.61945426877992182</v>
      </c>
      <c r="J5" s="8">
        <f t="shared" ref="J5:J27" si="2">C5/C$4*100</f>
        <v>0.79524161435712737</v>
      </c>
      <c r="K5" s="8">
        <f t="shared" ref="K5:K27" si="3">D5/D$4*100</f>
        <v>0.85314044995050375</v>
      </c>
      <c r="L5" s="8">
        <f t="shared" ref="L5:L27" si="4">E5/E$4*100</f>
        <v>0.36757896342459934</v>
      </c>
    </row>
    <row r="6" spans="1:12" x14ac:dyDescent="0.2">
      <c r="A6" t="s">
        <v>40</v>
      </c>
      <c r="B6" s="4">
        <f>B4+B5</f>
        <v>579234</v>
      </c>
      <c r="C6" s="4">
        <f t="shared" ref="C6:E6" si="5">C4+C5</f>
        <v>786978</v>
      </c>
      <c r="D6" s="4">
        <f t="shared" si="5"/>
        <v>1072792</v>
      </c>
      <c r="E6" s="4">
        <f t="shared" si="5"/>
        <v>736963</v>
      </c>
      <c r="I6" s="8">
        <f t="shared" si="1"/>
        <v>100.61945426877992</v>
      </c>
      <c r="J6" s="8">
        <f t="shared" si="2"/>
        <v>100.79524161435714</v>
      </c>
      <c r="K6" s="8">
        <f t="shared" si="3"/>
        <v>100.8531404499505</v>
      </c>
      <c r="L6" s="8">
        <f t="shared" si="4"/>
        <v>100.36757896342461</v>
      </c>
    </row>
    <row r="7" spans="1:12" x14ac:dyDescent="0.2">
      <c r="A7" t="s">
        <v>11</v>
      </c>
      <c r="B7" s="3">
        <v>-259974</v>
      </c>
      <c r="C7" s="3">
        <v>-317928</v>
      </c>
      <c r="D7" s="3">
        <v>-431323</v>
      </c>
      <c r="E7" s="3">
        <v>-306633</v>
      </c>
      <c r="I7" s="8">
        <f t="shared" si="1"/>
        <v>-45.160404955634149</v>
      </c>
      <c r="J7" s="8">
        <f t="shared" si="2"/>
        <v>-40.719854399956965</v>
      </c>
      <c r="K7" s="8">
        <f t="shared" si="3"/>
        <v>-40.548660969035936</v>
      </c>
      <c r="L7" s="8">
        <f t="shared" si="4"/>
        <v>-41.760592920257565</v>
      </c>
    </row>
    <row r="8" spans="1:12" x14ac:dyDescent="0.2">
      <c r="A8" t="s">
        <v>12</v>
      </c>
      <c r="B8" s="3">
        <v>-157188</v>
      </c>
      <c r="C8" s="3">
        <v>-204429</v>
      </c>
      <c r="D8" s="3">
        <v>-311970</v>
      </c>
      <c r="E8" s="3">
        <v>-220272</v>
      </c>
      <c r="G8" s="9">
        <v>-30</v>
      </c>
      <c r="I8" s="8">
        <f t="shared" si="1"/>
        <v>-27.30532181743644</v>
      </c>
      <c r="J8" s="8">
        <f t="shared" si="2"/>
        <v>-26.183032369369176</v>
      </c>
      <c r="K8" s="8">
        <f t="shared" si="3"/>
        <v>-29.328289385240623</v>
      </c>
      <c r="L8" s="8">
        <f t="shared" si="4"/>
        <v>-29.999019426255408</v>
      </c>
    </row>
    <row r="9" spans="1:12" x14ac:dyDescent="0.2">
      <c r="A9" t="s">
        <v>13</v>
      </c>
      <c r="B9" s="3">
        <v>-26948</v>
      </c>
      <c r="C9" s="3">
        <v>-29837</v>
      </c>
      <c r="D9" s="3">
        <v>-41486</v>
      </c>
      <c r="E9" s="3">
        <v>-27230</v>
      </c>
      <c r="G9" s="9">
        <v>-3.7</v>
      </c>
      <c r="I9" s="8">
        <f t="shared" si="1"/>
        <v>-4.6811703968259479</v>
      </c>
      <c r="J9" s="8">
        <f t="shared" si="2"/>
        <v>-3.8214888142331467</v>
      </c>
      <c r="K9" s="8">
        <f t="shared" si="3"/>
        <v>-3.9000974883357129</v>
      </c>
      <c r="L9" s="8">
        <f t="shared" si="4"/>
        <v>-3.7084754257324342</v>
      </c>
    </row>
    <row r="10" spans="1:12" x14ac:dyDescent="0.2">
      <c r="A10" t="s">
        <v>14</v>
      </c>
      <c r="B10" s="3">
        <v>-22148</v>
      </c>
      <c r="C10" s="3">
        <v>-26299</v>
      </c>
      <c r="D10" s="3">
        <v>-34858</v>
      </c>
      <c r="E10" s="3">
        <v>-25464</v>
      </c>
      <c r="G10" s="9">
        <v>-3.5</v>
      </c>
      <c r="I10" s="8">
        <f t="shared" si="1"/>
        <v>-3.8473564624054144</v>
      </c>
      <c r="J10" s="8">
        <f t="shared" si="2"/>
        <v>-3.368345823156401</v>
      </c>
      <c r="K10" s="8">
        <f t="shared" si="3"/>
        <v>-3.2769994274793013</v>
      </c>
      <c r="L10" s="8">
        <f t="shared" si="4"/>
        <v>-3.4679624767113735</v>
      </c>
    </row>
    <row r="11" spans="1:12" x14ac:dyDescent="0.2">
      <c r="A11" t="s">
        <v>15</v>
      </c>
      <c r="B11" s="3">
        <v>-23918</v>
      </c>
      <c r="C11" s="3">
        <v>-28592</v>
      </c>
      <c r="D11" s="3">
        <v>-35984</v>
      </c>
      <c r="E11" s="3">
        <v>-29357</v>
      </c>
      <c r="G11" s="9">
        <v>-4</v>
      </c>
      <c r="I11" s="8">
        <f t="shared" si="1"/>
        <v>-4.1548253507229864</v>
      </c>
      <c r="J11" s="8">
        <f t="shared" si="2"/>
        <v>-3.662030639023834</v>
      </c>
      <c r="K11" s="8">
        <f t="shared" si="3"/>
        <v>-3.3828546502500196</v>
      </c>
      <c r="L11" s="8">
        <f t="shared" si="4"/>
        <v>-3.9981532527810164</v>
      </c>
    </row>
    <row r="12" spans="1:12" x14ac:dyDescent="0.2">
      <c r="A12" t="s">
        <v>16</v>
      </c>
      <c r="B12" s="3">
        <v>-6721</v>
      </c>
      <c r="C12" s="3">
        <v>-8448</v>
      </c>
      <c r="D12" s="3">
        <v>-11960</v>
      </c>
      <c r="E12" s="3">
        <v>-7239</v>
      </c>
      <c r="G12" s="9">
        <v>-1</v>
      </c>
      <c r="I12" s="8">
        <f t="shared" si="1"/>
        <v>-1.1675132194250852</v>
      </c>
      <c r="J12" s="8">
        <f t="shared" si="2"/>
        <v>-1.0820101720227109</v>
      </c>
      <c r="K12" s="8">
        <f t="shared" si="3"/>
        <v>-1.1243592045628679</v>
      </c>
      <c r="L12" s="8">
        <f t="shared" si="4"/>
        <v>-0.98588518570977191</v>
      </c>
    </row>
    <row r="13" spans="1:12" x14ac:dyDescent="0.2">
      <c r="A13" t="s">
        <v>17</v>
      </c>
      <c r="B13" s="3">
        <v>-26811</v>
      </c>
      <c r="C13" s="3">
        <v>-37242</v>
      </c>
      <c r="D13" s="3">
        <v>-44500</v>
      </c>
      <c r="E13" s="3">
        <v>-30137</v>
      </c>
      <c r="I13" s="8">
        <f t="shared" si="1"/>
        <v>-4.6573719574476957</v>
      </c>
      <c r="J13" s="8">
        <f t="shared" si="2"/>
        <v>-4.7699127398756866</v>
      </c>
      <c r="K13" s="8">
        <f t="shared" si="3"/>
        <v>-4.1834435286829112</v>
      </c>
      <c r="L13" s="8">
        <f t="shared" si="4"/>
        <v>-4.1043820751119489</v>
      </c>
    </row>
    <row r="14" spans="1:12" x14ac:dyDescent="0.2">
      <c r="A14" t="s">
        <v>18</v>
      </c>
      <c r="B14" s="3"/>
      <c r="C14" s="3"/>
      <c r="D14" s="3">
        <v>48</v>
      </c>
      <c r="E14" s="3">
        <v>521</v>
      </c>
      <c r="I14" s="8">
        <f t="shared" si="1"/>
        <v>0</v>
      </c>
      <c r="J14" s="8">
        <f t="shared" si="2"/>
        <v>0</v>
      </c>
      <c r="K14" s="8">
        <f t="shared" si="3"/>
        <v>4.5124784129613425E-3</v>
      </c>
      <c r="L14" s="8">
        <f t="shared" si="4"/>
        <v>7.0955405685148673E-2</v>
      </c>
    </row>
    <row r="15" spans="1:12" x14ac:dyDescent="0.2">
      <c r="A15" t="s">
        <v>19</v>
      </c>
      <c r="B15" s="3">
        <v>807</v>
      </c>
      <c r="C15" s="3">
        <v>1201</v>
      </c>
      <c r="D15" s="3">
        <v>2606</v>
      </c>
      <c r="E15" s="3">
        <v>1883</v>
      </c>
      <c r="I15" s="8">
        <f t="shared" si="1"/>
        <v>0.1401849677244523</v>
      </c>
      <c r="J15" s="8">
        <f t="shared" si="2"/>
        <v>0.15382270556336125</v>
      </c>
      <c r="K15" s="8">
        <f t="shared" si="3"/>
        <v>0.24498997383702617</v>
      </c>
      <c r="L15" s="8">
        <f t="shared" si="4"/>
        <v>0.25644727237070042</v>
      </c>
    </row>
    <row r="16" spans="1:12" x14ac:dyDescent="0.2">
      <c r="A16" t="s">
        <v>20</v>
      </c>
      <c r="B16" s="3">
        <v>-322</v>
      </c>
      <c r="C16" s="3">
        <v>-817</v>
      </c>
      <c r="D16" s="3">
        <v>-861</v>
      </c>
      <c r="E16" s="3">
        <v>-877</v>
      </c>
      <c r="I16" s="8">
        <f t="shared" si="1"/>
        <v>-5.5935018100710832E-2</v>
      </c>
      <c r="J16" s="8">
        <f t="shared" si="2"/>
        <v>-0.10464042501687439</v>
      </c>
      <c r="K16" s="8">
        <f t="shared" si="3"/>
        <v>-8.0942581532494076E-2</v>
      </c>
      <c r="L16" s="8">
        <f t="shared" si="4"/>
        <v>-0.11943932972336925</v>
      </c>
    </row>
    <row r="17" spans="1:12" x14ac:dyDescent="0.2">
      <c r="A17" t="s">
        <v>21</v>
      </c>
      <c r="B17" s="3"/>
      <c r="C17" s="3"/>
      <c r="D17" s="3"/>
      <c r="E17" s="3">
        <v>-2066</v>
      </c>
      <c r="I17" s="8">
        <f t="shared" si="1"/>
        <v>0</v>
      </c>
      <c r="J17" s="8">
        <f t="shared" si="2"/>
        <v>0</v>
      </c>
      <c r="K17" s="8">
        <f t="shared" si="3"/>
        <v>0</v>
      </c>
      <c r="L17" s="8">
        <f t="shared" si="4"/>
        <v>-0.2813701883791116</v>
      </c>
    </row>
    <row r="18" spans="1:12" x14ac:dyDescent="0.2">
      <c r="A18" t="s">
        <v>22</v>
      </c>
      <c r="B18" s="1">
        <f>SUM(B6:B17)</f>
        <v>56011</v>
      </c>
      <c r="C18" s="1">
        <f t="shared" ref="C18:E18" si="6">SUM(C6:C17)</f>
        <v>134587</v>
      </c>
      <c r="D18" s="1">
        <f t="shared" si="6"/>
        <v>162504</v>
      </c>
      <c r="E18" s="1">
        <f t="shared" si="6"/>
        <v>90092</v>
      </c>
      <c r="I18" s="8">
        <f t="shared" si="1"/>
        <v>9.7297400585059446</v>
      </c>
      <c r="J18" s="8">
        <f t="shared" si="2"/>
        <v>17.237748937265696</v>
      </c>
      <c r="K18" s="8">
        <f t="shared" si="3"/>
        <v>15.276995667080623</v>
      </c>
      <c r="L18" s="8">
        <f t="shared" si="4"/>
        <v>12.269701360818452</v>
      </c>
    </row>
    <row r="19" spans="1:12" x14ac:dyDescent="0.2">
      <c r="A19" t="s">
        <v>23</v>
      </c>
      <c r="B19" s="3">
        <v>-14943</v>
      </c>
      <c r="C19" s="3">
        <v>-36769</v>
      </c>
      <c r="D19" s="3">
        <v>-43071</v>
      </c>
      <c r="E19" s="3">
        <v>-25351</v>
      </c>
      <c r="I19" s="8">
        <f t="shared" si="1"/>
        <v>-2.5957670045929251</v>
      </c>
      <c r="J19" s="8">
        <f t="shared" si="2"/>
        <v>-4.7093314411817069</v>
      </c>
      <c r="K19" s="8">
        <f t="shared" si="3"/>
        <v>-4.0491032859303742</v>
      </c>
      <c r="L19" s="8">
        <f t="shared" si="4"/>
        <v>-3.4525729165531747</v>
      </c>
    </row>
    <row r="20" spans="1:12" s="6" customFormat="1" x14ac:dyDescent="0.2">
      <c r="A20" s="6" t="s">
        <v>24</v>
      </c>
      <c r="B20" s="7">
        <f>B18+B19</f>
        <v>41068</v>
      </c>
      <c r="C20" s="7">
        <f t="shared" ref="C20:E20" si="7">C18+C19</f>
        <v>97818</v>
      </c>
      <c r="D20" s="7">
        <f t="shared" si="7"/>
        <v>119433</v>
      </c>
      <c r="E20" s="7">
        <f t="shared" si="7"/>
        <v>64741</v>
      </c>
      <c r="G20" s="11"/>
      <c r="I20" s="8">
        <f t="shared" si="1"/>
        <v>7.1339730539130191</v>
      </c>
      <c r="J20" s="8">
        <f t="shared" si="2"/>
        <v>12.528417496083987</v>
      </c>
      <c r="K20" s="8">
        <f t="shared" si="3"/>
        <v>11.22789238115025</v>
      </c>
      <c r="L20" s="8">
        <f t="shared" si="4"/>
        <v>8.8171284442652773</v>
      </c>
    </row>
    <row r="21" spans="1:12" x14ac:dyDescent="0.2">
      <c r="A21" t="s">
        <v>25</v>
      </c>
      <c r="B21" s="3">
        <v>15</v>
      </c>
      <c r="C21" s="3">
        <v>554</v>
      </c>
      <c r="D21" s="3">
        <v>-3051</v>
      </c>
      <c r="E21" s="3">
        <v>616</v>
      </c>
      <c r="I21" s="8">
        <f t="shared" si="1"/>
        <v>2.6056685450641689E-3</v>
      </c>
      <c r="J21" s="8">
        <f t="shared" si="2"/>
        <v>7.0955685996754489E-2</v>
      </c>
      <c r="K21" s="8">
        <f t="shared" si="3"/>
        <v>-0.28682440912385532</v>
      </c>
      <c r="L21" s="8">
        <f t="shared" si="4"/>
        <v>8.3893531481864833E-2</v>
      </c>
    </row>
    <row r="22" spans="1:12" s="6" customFormat="1" x14ac:dyDescent="0.2">
      <c r="A22" s="6" t="s">
        <v>26</v>
      </c>
      <c r="B22" s="7">
        <f>B20+B21</f>
        <v>41083</v>
      </c>
      <c r="C22" s="7">
        <f t="shared" ref="C22:E22" si="8">C20+C21</f>
        <v>98372</v>
      </c>
      <c r="D22" s="7">
        <f t="shared" si="8"/>
        <v>116382</v>
      </c>
      <c r="E22" s="7">
        <f t="shared" si="8"/>
        <v>65357</v>
      </c>
      <c r="G22" s="11"/>
      <c r="I22" s="8">
        <f t="shared" si="1"/>
        <v>7.1365787224580837</v>
      </c>
      <c r="J22" s="8">
        <f t="shared" si="2"/>
        <v>12.599373182080745</v>
      </c>
      <c r="K22" s="8">
        <f t="shared" si="3"/>
        <v>10.941067972026394</v>
      </c>
      <c r="L22" s="8">
        <f t="shared" si="4"/>
        <v>8.9010219757471418</v>
      </c>
    </row>
    <row r="23" spans="1:12" x14ac:dyDescent="0.2">
      <c r="A23" t="s">
        <v>27</v>
      </c>
      <c r="B23" s="1">
        <f>B20-B25</f>
        <v>27269</v>
      </c>
      <c r="C23" s="1">
        <f>C20-C25</f>
        <v>73516</v>
      </c>
      <c r="D23" s="1">
        <f>D20-D25</f>
        <v>102783</v>
      </c>
      <c r="E23" s="1">
        <f>E20-E25</f>
        <v>64649</v>
      </c>
      <c r="I23" s="8">
        <f t="shared" si="1"/>
        <v>4.7369317036903213</v>
      </c>
      <c r="J23" s="8">
        <f t="shared" si="2"/>
        <v>9.4158451475404377</v>
      </c>
      <c r="K23" s="8">
        <f t="shared" si="3"/>
        <v>9.6626264316542834</v>
      </c>
      <c r="L23" s="8">
        <f t="shared" si="4"/>
        <v>8.8045988908621418</v>
      </c>
    </row>
    <row r="24" spans="1:12" x14ac:dyDescent="0.2">
      <c r="A24" t="s">
        <v>39</v>
      </c>
      <c r="B24" s="5">
        <v>0.33600370117853318</v>
      </c>
      <c r="C24" s="5">
        <v>0.24844098223230898</v>
      </c>
      <c r="D24" s="5">
        <v>0.13940870613649495</v>
      </c>
      <c r="E24" s="5">
        <v>1.4210469408875365E-3</v>
      </c>
      <c r="I24" s="8">
        <f t="shared" si="1"/>
        <v>5.8367618345736287E-5</v>
      </c>
      <c r="J24" s="8">
        <f t="shared" si="2"/>
        <v>3.1820036685922336E-5</v>
      </c>
      <c r="K24" s="8">
        <f t="shared" si="3"/>
        <v>1.3105807854579267E-5</v>
      </c>
      <c r="L24" s="8">
        <f t="shared" si="4"/>
        <v>1.9353351667622768E-7</v>
      </c>
    </row>
    <row r="25" spans="1:12" x14ac:dyDescent="0.2">
      <c r="A25" t="s">
        <v>28</v>
      </c>
      <c r="B25" s="1">
        <f>B20*B24</f>
        <v>13799</v>
      </c>
      <c r="C25" s="1">
        <f>C20*C24</f>
        <v>24302</v>
      </c>
      <c r="D25" s="1">
        <f>D20*D24</f>
        <v>16650</v>
      </c>
      <c r="E25" s="1">
        <f>E20*E24</f>
        <v>92</v>
      </c>
      <c r="I25" s="8">
        <f t="shared" si="1"/>
        <v>2.3970413502226977</v>
      </c>
      <c r="J25" s="8">
        <f t="shared" si="2"/>
        <v>3.112572348543551</v>
      </c>
      <c r="K25" s="8">
        <f t="shared" si="3"/>
        <v>1.5652659494959655</v>
      </c>
      <c r="L25" s="8">
        <f t="shared" si="4"/>
        <v>1.2529553403135656E-2</v>
      </c>
    </row>
    <row r="26" spans="1:12" x14ac:dyDescent="0.2">
      <c r="A26" t="s">
        <v>29</v>
      </c>
      <c r="B26" s="1">
        <f>B22-B27</f>
        <v>27278.959944482322</v>
      </c>
      <c r="C26" s="1">
        <f>C22-C27</f>
        <v>73932.363695843305</v>
      </c>
      <c r="D26" s="1">
        <f>D22-D27</f>
        <v>100157.33596242244</v>
      </c>
      <c r="E26" s="1">
        <f>E22-E27</f>
        <v>65264.124635084416</v>
      </c>
      <c r="I26" s="8">
        <f t="shared" si="1"/>
        <v>4.7386618579601993</v>
      </c>
      <c r="J26" s="8">
        <f t="shared" si="2"/>
        <v>9.4691725332131931</v>
      </c>
      <c r="K26" s="8">
        <f t="shared" si="3"/>
        <v>9.4157878422947494</v>
      </c>
      <c r="L26" s="8">
        <f t="shared" si="4"/>
        <v>8.888373205697734</v>
      </c>
    </row>
    <row r="27" spans="1:12" x14ac:dyDescent="0.2">
      <c r="A27" t="s">
        <v>30</v>
      </c>
      <c r="B27" s="1">
        <f>B22*B24</f>
        <v>13804.040055517678</v>
      </c>
      <c r="C27" s="1">
        <f>C22*C24</f>
        <v>24439.636304156698</v>
      </c>
      <c r="D27" s="1">
        <f>D22*D24</f>
        <v>16224.664037577555</v>
      </c>
      <c r="E27" s="1">
        <f>E22*E24</f>
        <v>92.875364915586729</v>
      </c>
      <c r="I27" s="8">
        <f t="shared" si="1"/>
        <v>2.3979168644978839</v>
      </c>
      <c r="J27" s="8">
        <f t="shared" si="2"/>
        <v>3.1302006488675524</v>
      </c>
      <c r="K27" s="8">
        <f t="shared" si="3"/>
        <v>1.5252801297316443</v>
      </c>
      <c r="L27" s="8">
        <f t="shared" si="4"/>
        <v>1.2648770049408214E-2</v>
      </c>
    </row>
    <row r="28" spans="1:12" x14ac:dyDescent="0.2">
      <c r="A28" t="s">
        <v>31</v>
      </c>
      <c r="B28" s="2" t="s">
        <v>32</v>
      </c>
      <c r="C28" s="2" t="s">
        <v>32</v>
      </c>
      <c r="D28" s="2" t="s">
        <v>32</v>
      </c>
      <c r="E28" s="2" t="s">
        <v>32</v>
      </c>
    </row>
    <row r="29" spans="1:12" x14ac:dyDescent="0.2">
      <c r="A29" t="s">
        <v>33</v>
      </c>
      <c r="B29" s="2" t="s">
        <v>32</v>
      </c>
      <c r="C29" s="2" t="s">
        <v>32</v>
      </c>
      <c r="D29" s="2" t="s">
        <v>32</v>
      </c>
      <c r="E29" s="2" t="s">
        <v>32</v>
      </c>
    </row>
    <row r="30" spans="1:12" x14ac:dyDescent="0.2">
      <c r="A30" t="s">
        <v>34</v>
      </c>
      <c r="B30" s="2" t="s">
        <v>35</v>
      </c>
      <c r="C30" s="2" t="s">
        <v>35</v>
      </c>
      <c r="D30" s="2" t="s">
        <v>35</v>
      </c>
      <c r="E30" s="2" t="s">
        <v>35</v>
      </c>
    </row>
    <row r="31" spans="1:12" x14ac:dyDescent="0.2">
      <c r="A31" t="s">
        <v>36</v>
      </c>
      <c r="B31" s="2" t="s">
        <v>37</v>
      </c>
      <c r="C31" s="2" t="s">
        <v>37</v>
      </c>
      <c r="D31" s="2" t="s">
        <v>37</v>
      </c>
      <c r="E31" s="2" t="s">
        <v>37</v>
      </c>
    </row>
    <row r="35" spans="1:1" x14ac:dyDescent="0.2">
      <c r="A35" t="s">
        <v>38</v>
      </c>
    </row>
  </sheetData>
  <phoneticPr fontId="1" type="noConversion"/>
  <pageMargins left="0.7" right="0.7" top="0.75" bottom="0.75" header="0.3" footer="0.3"/>
  <ignoredErrors>
    <ignoredError sqref="B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8086-5216-4C08-BC09-75C042CCFF3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6862.HK-ARD.利润表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028231</dc:creator>
  <cp:lastModifiedBy>028231</cp:lastModifiedBy>
  <dcterms:created xsi:type="dcterms:W3CDTF">2018-10-08T08:13:05Z</dcterms:created>
  <dcterms:modified xsi:type="dcterms:W3CDTF">2018-10-08T08:48:33Z</dcterms:modified>
</cp:coreProperties>
</file>